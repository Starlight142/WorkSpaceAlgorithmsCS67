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AlgorithmsCS67\"/>
    </mc:Choice>
  </mc:AlternateContent>
  <xr:revisionPtr revIDLastSave="0" documentId="8_{5259040E-3DFB-470A-BE56-5E725EE89467}" xr6:coauthVersionLast="36" xr6:coauthVersionMax="36" xr10:uidLastSave="{00000000-0000-0000-0000-000000000000}"/>
  <bookViews>
    <workbookView xWindow="0" yWindow="0" windowWidth="21570" windowHeight="7890" xr2:uid="{3AEF4B1F-A1E6-4F7F-9200-82AB63CE3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7" i="1"/>
  <c r="F21" i="1" s="1"/>
  <c r="F18" i="1"/>
  <c r="F19" i="1"/>
  <c r="F20" i="1"/>
  <c r="G21" i="1"/>
  <c r="E21" i="1"/>
  <c r="E16" i="1"/>
  <c r="G17" i="1"/>
  <c r="G18" i="1"/>
  <c r="G19" i="1"/>
  <c r="G20" i="1"/>
  <c r="G16" i="1"/>
  <c r="D16" i="1"/>
  <c r="E17" i="1"/>
  <c r="E18" i="1"/>
  <c r="E19" i="1"/>
  <c r="E20" i="1"/>
  <c r="D17" i="1"/>
  <c r="D18" i="1"/>
  <c r="D19" i="1"/>
  <c r="D20" i="1"/>
  <c r="B13" i="1"/>
  <c r="C21" i="1"/>
  <c r="B21" i="1"/>
  <c r="F7" i="1"/>
  <c r="G3" i="1"/>
  <c r="G4" i="1"/>
  <c r="G5" i="1"/>
  <c r="G6" i="1"/>
  <c r="G2" i="1"/>
  <c r="G7" i="1" s="1"/>
  <c r="C7" i="1"/>
  <c r="B10" i="1" s="1"/>
  <c r="B7" i="1"/>
  <c r="B9" i="1" s="1"/>
</calcChain>
</file>

<file path=xl/sharedStrings.xml><?xml version="1.0" encoding="utf-8"?>
<sst xmlns="http://schemas.openxmlformats.org/spreadsheetml/2006/main" count="25" uniqueCount="21">
  <si>
    <t>คน</t>
  </si>
  <si>
    <t>ยอดขาย (บาท)</t>
  </si>
  <si>
    <t>ประสบการณ์ (เดือน)</t>
  </si>
  <si>
    <t>Sum</t>
  </si>
  <si>
    <t>Average</t>
  </si>
  <si>
    <t>Running Total</t>
  </si>
  <si>
    <t>Count</t>
  </si>
  <si>
    <t>เดือน x</t>
  </si>
  <si>
    <t>บาท y</t>
  </si>
  <si>
    <t>(X-Xbar)</t>
  </si>
  <si>
    <t>(Y-Ybar)</t>
  </si>
  <si>
    <t>(X-Xbar)*(Y-Ybar)</t>
  </si>
  <si>
    <t>(X-Xbar)^2</t>
  </si>
  <si>
    <t>X_bar</t>
  </si>
  <si>
    <t>Y_Bar</t>
  </si>
  <si>
    <t>beta1</t>
  </si>
  <si>
    <t>beta2</t>
  </si>
  <si>
    <t>(Y-Ybar)^2</t>
  </si>
  <si>
    <t>y^hat</t>
  </si>
  <si>
    <t>(Y^-Ybar)^2</t>
  </si>
  <si>
    <t>(Y-Y^)^2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</si>
</sst>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B59C-22F3-4B02-9869-AFA53E58E856}">
  <dimension ref="A1:S21"/>
  <sheetViews>
    <sheetView tabSelected="1" zoomScale="145" zoomScaleNormal="145" workbookViewId="0">
      <selection activeCell="E2" sqref="E2"/>
    </sheetView>
  </sheetViews>
  <sheetFormatPr defaultRowHeight="15" x14ac:dyDescent="0.25"/>
  <cols>
    <col min="1" max="1" width="7.42578125" customWidth="1"/>
    <col min="5" max="5" width="14.7109375" customWidth="1"/>
    <col min="6" max="6" width="16.7109375" customWidth="1"/>
  </cols>
  <sheetData>
    <row r="1" spans="1:19" x14ac:dyDescent="0.25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19" x14ac:dyDescent="0.25">
      <c r="A2">
        <v>1</v>
      </c>
      <c r="B2">
        <v>2</v>
      </c>
      <c r="C2">
        <v>4000</v>
      </c>
      <c r="D2">
        <v>-2</v>
      </c>
      <c r="E2">
        <v>-3000</v>
      </c>
      <c r="F2">
        <v>6000</v>
      </c>
      <c r="G2">
        <f>D2^2</f>
        <v>4</v>
      </c>
      <c r="N2" t="s">
        <v>0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x14ac:dyDescent="0.25">
      <c r="A3">
        <v>2</v>
      </c>
      <c r="B3">
        <v>3</v>
      </c>
      <c r="C3">
        <v>5000</v>
      </c>
      <c r="D3">
        <v>-1</v>
      </c>
      <c r="E3">
        <v>-2000</v>
      </c>
      <c r="F3">
        <v>2000</v>
      </c>
      <c r="G3">
        <f t="shared" ref="G3:G6" si="0">D3^2</f>
        <v>1</v>
      </c>
      <c r="N3" t="s">
        <v>2</v>
      </c>
      <c r="O3">
        <v>2</v>
      </c>
      <c r="P3">
        <v>3</v>
      </c>
      <c r="Q3">
        <v>4</v>
      </c>
      <c r="R3">
        <v>5</v>
      </c>
      <c r="S3">
        <v>6</v>
      </c>
    </row>
    <row r="4" spans="1:19" x14ac:dyDescent="0.25">
      <c r="A4">
        <v>3</v>
      </c>
      <c r="B4">
        <v>4</v>
      </c>
      <c r="C4">
        <v>7000</v>
      </c>
      <c r="D4">
        <v>0</v>
      </c>
      <c r="E4">
        <v>0</v>
      </c>
      <c r="F4">
        <v>0</v>
      </c>
      <c r="G4">
        <f t="shared" si="0"/>
        <v>0</v>
      </c>
      <c r="N4" t="s">
        <v>1</v>
      </c>
      <c r="O4">
        <v>4000</v>
      </c>
      <c r="P4">
        <v>5000</v>
      </c>
      <c r="Q4">
        <v>7000</v>
      </c>
      <c r="R4">
        <v>9000</v>
      </c>
      <c r="S4">
        <v>10000</v>
      </c>
    </row>
    <row r="5" spans="1:19" x14ac:dyDescent="0.25">
      <c r="A5">
        <v>4</v>
      </c>
      <c r="B5">
        <v>5</v>
      </c>
      <c r="C5">
        <v>9000</v>
      </c>
      <c r="D5">
        <v>1</v>
      </c>
      <c r="E5">
        <v>2000</v>
      </c>
      <c r="F5">
        <v>2000</v>
      </c>
      <c r="G5">
        <f t="shared" si="0"/>
        <v>1</v>
      </c>
    </row>
    <row r="6" spans="1:19" x14ac:dyDescent="0.25">
      <c r="A6">
        <v>5</v>
      </c>
      <c r="B6">
        <v>6</v>
      </c>
      <c r="C6">
        <v>10000</v>
      </c>
      <c r="D6">
        <v>2</v>
      </c>
      <c r="E6">
        <v>3000</v>
      </c>
      <c r="F6">
        <v>6000</v>
      </c>
      <c r="G6">
        <f t="shared" si="0"/>
        <v>4</v>
      </c>
    </row>
    <row r="7" spans="1:19" x14ac:dyDescent="0.25">
      <c r="B7" s="3">
        <f>SUM(B2:B6)</f>
        <v>20</v>
      </c>
      <c r="C7" s="3">
        <f>SUM(C2:C6)</f>
        <v>35000</v>
      </c>
      <c r="F7" s="3">
        <f>SUM(F2:F6)</f>
        <v>16000</v>
      </c>
      <c r="G7" s="3">
        <f>SUM(G2:G6)</f>
        <v>10</v>
      </c>
    </row>
    <row r="9" spans="1:19" x14ac:dyDescent="0.25">
      <c r="A9" t="s">
        <v>13</v>
      </c>
      <c r="B9">
        <f>B7/5</f>
        <v>4</v>
      </c>
    </row>
    <row r="10" spans="1:19" x14ac:dyDescent="0.25">
      <c r="A10" t="s">
        <v>14</v>
      </c>
      <c r="B10">
        <f>C7/5</f>
        <v>7000</v>
      </c>
    </row>
    <row r="12" spans="1:19" x14ac:dyDescent="0.25">
      <c r="A12" t="s">
        <v>15</v>
      </c>
      <c r="B12">
        <v>1600</v>
      </c>
    </row>
    <row r="13" spans="1:19" x14ac:dyDescent="0.25">
      <c r="A13" t="s">
        <v>16</v>
      </c>
      <c r="B13">
        <f>7000-1600*(4)</f>
        <v>600</v>
      </c>
    </row>
    <row r="15" spans="1:19" x14ac:dyDescent="0.25">
      <c r="A15" s="2" t="s">
        <v>0</v>
      </c>
      <c r="B15" s="2" t="s">
        <v>7</v>
      </c>
      <c r="C15" s="2" t="s">
        <v>8</v>
      </c>
      <c r="D15" s="2" t="s">
        <v>18</v>
      </c>
      <c r="E15" s="2" t="s">
        <v>17</v>
      </c>
      <c r="F15" s="2" t="s">
        <v>19</v>
      </c>
      <c r="G15" s="2" t="s">
        <v>20</v>
      </c>
    </row>
    <row r="16" spans="1:19" x14ac:dyDescent="0.25">
      <c r="A16">
        <v>1</v>
      </c>
      <c r="B16">
        <v>2</v>
      </c>
      <c r="C16">
        <v>4000</v>
      </c>
      <c r="D16">
        <f>600+1600*B16</f>
        <v>3800</v>
      </c>
      <c r="E16">
        <f>E2^2</f>
        <v>9000000</v>
      </c>
      <c r="F16" s="1">
        <f>(D16-B10)^2</f>
        <v>10240000</v>
      </c>
      <c r="G16">
        <f>(C16-D16)^2</f>
        <v>40000</v>
      </c>
    </row>
    <row r="17" spans="1:7" x14ac:dyDescent="0.25">
      <c r="A17">
        <v>2</v>
      </c>
      <c r="B17">
        <v>3</v>
      </c>
      <c r="C17">
        <v>5000</v>
      </c>
      <c r="D17">
        <f t="shared" ref="D17:D20" si="1">600+1600*B17</f>
        <v>5400</v>
      </c>
      <c r="E17">
        <f t="shared" ref="E17:E20" si="2">E3^2</f>
        <v>4000000</v>
      </c>
      <c r="F17" s="1">
        <f t="shared" ref="F17:F20" si="3">(D17-B11)^2</f>
        <v>29160000</v>
      </c>
      <c r="G17">
        <f t="shared" ref="G17:G20" si="4">(C17-D17)^2</f>
        <v>160000</v>
      </c>
    </row>
    <row r="18" spans="1:7" x14ac:dyDescent="0.25">
      <c r="A18">
        <v>3</v>
      </c>
      <c r="B18">
        <v>4</v>
      </c>
      <c r="C18">
        <v>7000</v>
      </c>
      <c r="D18">
        <f t="shared" si="1"/>
        <v>7000</v>
      </c>
      <c r="E18">
        <f t="shared" si="2"/>
        <v>0</v>
      </c>
      <c r="F18" s="1">
        <f t="shared" si="3"/>
        <v>29160000</v>
      </c>
      <c r="G18">
        <f t="shared" si="4"/>
        <v>0</v>
      </c>
    </row>
    <row r="19" spans="1:7" x14ac:dyDescent="0.25">
      <c r="A19">
        <v>4</v>
      </c>
      <c r="B19">
        <v>5</v>
      </c>
      <c r="C19">
        <v>9000</v>
      </c>
      <c r="D19">
        <f t="shared" si="1"/>
        <v>8600</v>
      </c>
      <c r="E19">
        <f t="shared" si="2"/>
        <v>4000000</v>
      </c>
      <c r="F19" s="1">
        <f t="shared" si="3"/>
        <v>64000000</v>
      </c>
      <c r="G19">
        <f t="shared" si="4"/>
        <v>160000</v>
      </c>
    </row>
    <row r="20" spans="1:7" x14ac:dyDescent="0.25">
      <c r="A20">
        <v>5</v>
      </c>
      <c r="B20">
        <v>6</v>
      </c>
      <c r="C20">
        <v>10000</v>
      </c>
      <c r="D20">
        <f t="shared" si="1"/>
        <v>10200</v>
      </c>
      <c r="E20">
        <f t="shared" si="2"/>
        <v>9000000</v>
      </c>
      <c r="F20" s="1">
        <f t="shared" si="3"/>
        <v>104040000</v>
      </c>
      <c r="G20">
        <f t="shared" si="4"/>
        <v>40000</v>
      </c>
    </row>
    <row r="21" spans="1:7" x14ac:dyDescent="0.25">
      <c r="B21" s="3">
        <f>SUM(B16:B20)</f>
        <v>20</v>
      </c>
      <c r="C21" s="3">
        <f>SUM(C16:C20)</f>
        <v>35000</v>
      </c>
      <c r="E21" s="4">
        <f>SUM(E16:E20)</f>
        <v>26000000</v>
      </c>
      <c r="F21" s="1">
        <f>SUM(F16:F20)</f>
        <v>236600000</v>
      </c>
      <c r="G21" s="1">
        <f>SUM(G16:G20)</f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2025-10-10T03:38:07Z</dcterms:created>
  <dcterms:modified xsi:type="dcterms:W3CDTF">2025-10-10T04:34:19Z</dcterms:modified>
</cp:coreProperties>
</file>